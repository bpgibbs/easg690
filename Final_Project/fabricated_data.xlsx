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<sst xmlns="http://schemas.openxmlformats.org/spreadsheetml/2006/main" count="189" uniqueCount="44">
  <si>
    <t xml:space="preserve">raw 205Tl</t>
  </si>
  <si>
    <t xml:space="preserve">Error</t>
  </si>
  <si>
    <t xml:space="preserve">total Tl beam</t>
  </si>
  <si>
    <t xml:space="preserve">raw 205/203</t>
  </si>
  <si>
    <t xml:space="preserve">raw 208/206</t>
  </si>
  <si>
    <t xml:space="preserve">norm 207/206</t>
  </si>
  <si>
    <t xml:space="preserve">Fractionation</t>
  </si>
  <si>
    <t xml:space="preserve">Total Pb Beam</t>
  </si>
  <si>
    <t xml:space="preserve">norm 205/203</t>
  </si>
  <si>
    <t xml:space="preserve">Sample Name</t>
  </si>
  <si>
    <t xml:space="preserve">Date and Time</t>
  </si>
  <si>
    <t xml:space="preserve">File Number</t>
  </si>
  <si>
    <t xml:space="preserve">997 2.5ppb</t>
  </si>
  <si>
    <t xml:space="preserve">Analysed on Thursday</t>
  </si>
  <si>
    <t xml:space="preserve"> August 21</t>
  </si>
  <si>
    <t xml:space="preserve"> 2025 at 13:32</t>
  </si>
  <si>
    <t xml:space="preserve">Feldsp1</t>
  </si>
  <si>
    <t xml:space="preserve"> 2025 at 13:38</t>
  </si>
  <si>
    <t xml:space="preserve"> 2025 at 13:45</t>
  </si>
  <si>
    <t xml:space="preserve">Feldsp0</t>
  </si>
  <si>
    <t xml:space="preserve"> 2025 at 13:52</t>
  </si>
  <si>
    <t xml:space="preserve"> 2025 at 13:59</t>
  </si>
  <si>
    <t xml:space="preserve">Feldsp3</t>
  </si>
  <si>
    <t xml:space="preserve"> 2025 at 14:06</t>
  </si>
  <si>
    <t xml:space="preserve"> 2025 at 14:12</t>
  </si>
  <si>
    <t xml:space="preserve">Feldsp5</t>
  </si>
  <si>
    <t xml:space="preserve"> 2025 at 14:19</t>
  </si>
  <si>
    <t xml:space="preserve"> 2025 at 14:26</t>
  </si>
  <si>
    <t xml:space="preserve">Feldsp2</t>
  </si>
  <si>
    <t xml:space="preserve"> 2025 at 14:33</t>
  </si>
  <si>
    <t xml:space="preserve"> 2025 at 14:40</t>
  </si>
  <si>
    <t xml:space="preserve"> 2025 at 14:46</t>
  </si>
  <si>
    <t xml:space="preserve"> 2025 at 14:53</t>
  </si>
  <si>
    <t xml:space="preserve">Feldsp4</t>
  </si>
  <si>
    <t xml:space="preserve"> 2025 at 15:00</t>
  </si>
  <si>
    <t xml:space="preserve"> 2025 at 15:07</t>
  </si>
  <si>
    <t xml:space="preserve"> 2025 at 15:13</t>
  </si>
  <si>
    <t xml:space="preserve"> 2025 at 15:20</t>
  </si>
  <si>
    <t xml:space="preserve"> August 25</t>
  </si>
  <si>
    <t xml:space="preserve">mean of
 norm 205/203:</t>
  </si>
  <si>
    <t xml:space="preserve">StDev:</t>
  </si>
  <si>
    <t xml:space="preserve">mean of 
errors:</t>
  </si>
  <si>
    <t xml:space="preserve"> August 29</t>
  </si>
  <si>
    <t xml:space="preserve"> September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</si>
</sst>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67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Q18" activeCellId="0" sqref="Q18"/>
    </sheetView>
  </sheetViews>
  <sheetFormatPr defaultColWidth="10.5" defaultRowHeight="16" zeroHeight="false" outlineLevelRow="0" outlineLevelCol="0"/>
  <cols>
    <col collapsed="false" customWidth="true" hidden="false" outlineLevel="0" max="9" min="9" style="0" width="12.16"/>
    <col collapsed="false" customWidth="true" hidden="false" outlineLevel="0" max="11" min="11" style="0" width="16.84"/>
    <col collapsed="false" customWidth="true" hidden="false" outlineLevel="0" max="12" min="12" style="0" width="15.5"/>
    <col collapsed="false" customWidth="true" hidden="false" outlineLevel="0" max="14" min="14" style="0" width="23.83"/>
    <col collapsed="false" customWidth="true" hidden="false" outlineLevel="0" max="15" min="15" style="0" width="12.16"/>
  </cols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1</v>
      </c>
      <c r="E1" s="0" t="s">
        <v>3</v>
      </c>
      <c r="F1" s="0" t="s">
        <v>1</v>
      </c>
      <c r="G1" s="0" t="s">
        <v>4</v>
      </c>
      <c r="H1" s="0" t="s">
        <v>1</v>
      </c>
      <c r="I1" s="0" t="s">
        <v>5</v>
      </c>
      <c r="J1" s="0" t="s">
        <v>1</v>
      </c>
      <c r="K1" s="0" t="s">
        <v>6</v>
      </c>
      <c r="L1" s="0" t="s">
        <v>1</v>
      </c>
      <c r="M1" s="0" t="s">
        <v>7</v>
      </c>
      <c r="N1" s="0" t="s">
        <v>1</v>
      </c>
      <c r="O1" s="0" t="s">
        <v>8</v>
      </c>
      <c r="P1" s="0" t="s">
        <v>1</v>
      </c>
      <c r="Q1" s="0" t="s">
        <v>9</v>
      </c>
      <c r="R1" s="0" t="s">
        <v>10</v>
      </c>
      <c r="S1" s="0" t="s">
        <v>11</v>
      </c>
    </row>
    <row r="2" customFormat="false" ht="16" hidden="false" customHeight="false" outlineLevel="0" collapsed="false">
      <c r="A2" s="1" t="n">
        <v>1.351807</v>
      </c>
      <c r="B2" s="1" t="n">
        <v>0.0217</v>
      </c>
      <c r="C2" s="1" t="n">
        <v>1.90752</v>
      </c>
      <c r="D2" s="1" t="n">
        <v>0.0307</v>
      </c>
      <c r="E2" s="1" t="n">
        <v>2.432471</v>
      </c>
      <c r="F2" s="1" t="n">
        <v>9.28E-005</v>
      </c>
      <c r="G2" s="1" t="n">
        <v>2.206818</v>
      </c>
      <c r="H2" s="1" t="n">
        <v>8.88E-005</v>
      </c>
      <c r="I2" s="1" t="n">
        <v>0.9151633</v>
      </c>
      <c r="J2" s="1" t="n">
        <v>2E-005</v>
      </c>
      <c r="K2" s="1" t="n">
        <v>-1.829882</v>
      </c>
      <c r="L2" s="1" t="n">
        <v>0.00416</v>
      </c>
      <c r="M2" s="1" t="n">
        <v>7.619792</v>
      </c>
      <c r="N2" s="1" t="n">
        <v>0.122</v>
      </c>
      <c r="O2" s="1" t="n">
        <v>2.389172</v>
      </c>
      <c r="P2" s="1" t="n">
        <v>9.09E-005</v>
      </c>
      <c r="Q2" s="0" t="s">
        <v>12</v>
      </c>
      <c r="R2" s="0" t="s">
        <v>13</v>
      </c>
      <c r="S2" s="0" t="s">
        <v>14</v>
      </c>
      <c r="T2" s="0" t="s">
        <v>15</v>
      </c>
      <c r="U2" s="0" t="n">
        <v>28230</v>
      </c>
    </row>
    <row r="3" customFormat="false" ht="16" hidden="false" customHeight="false" outlineLevel="0" collapsed="false">
      <c r="A3" s="1" t="n">
        <v>1.648677</v>
      </c>
      <c r="B3" s="1" t="n">
        <v>0.0354</v>
      </c>
      <c r="C3" s="1" t="n">
        <v>2.326641</v>
      </c>
      <c r="D3" s="1" t="n">
        <v>0.05</v>
      </c>
      <c r="E3" s="1" t="n">
        <v>2.431971</v>
      </c>
      <c r="F3" s="1" t="n">
        <v>0.000129</v>
      </c>
      <c r="G3" s="1" t="n">
        <v>2.206744</v>
      </c>
      <c r="H3" s="1" t="n">
        <v>8.82E-005</v>
      </c>
      <c r="I3" s="1" t="n">
        <v>0.9151398</v>
      </c>
      <c r="J3" s="1" t="n">
        <v>2.15E-005</v>
      </c>
      <c r="K3" s="1" t="n">
        <v>-1.826414</v>
      </c>
      <c r="L3" s="1" t="n">
        <v>0.00413</v>
      </c>
      <c r="M3" s="1" t="n">
        <v>8.764541</v>
      </c>
      <c r="N3" s="1" t="n">
        <v>0.187</v>
      </c>
      <c r="O3" s="1" t="n">
        <v>2.388544</v>
      </c>
      <c r="P3" s="1" t="n">
        <v>0.00014</v>
      </c>
      <c r="Q3" s="0" t="s">
        <v>16</v>
      </c>
      <c r="R3" s="0" t="s">
        <v>13</v>
      </c>
      <c r="S3" s="0" t="s">
        <v>14</v>
      </c>
      <c r="T3" s="0" t="s">
        <v>17</v>
      </c>
      <c r="U3" s="0" t="n">
        <v>28231</v>
      </c>
    </row>
    <row r="4" customFormat="false" ht="16" hidden="false" customHeight="false" outlineLevel="0" collapsed="false">
      <c r="A4" s="1" t="n">
        <v>1.346484</v>
      </c>
      <c r="B4" s="1" t="n">
        <v>0.012</v>
      </c>
      <c r="C4" s="1" t="n">
        <v>1.900067</v>
      </c>
      <c r="D4" s="1" t="n">
        <v>0.0169</v>
      </c>
      <c r="E4" s="1" t="n">
        <v>2.432291</v>
      </c>
      <c r="F4" s="1" t="n">
        <v>7.36E-005</v>
      </c>
      <c r="G4" s="1" t="n">
        <v>2.206773</v>
      </c>
      <c r="H4" s="1" t="n">
        <v>6.49E-005</v>
      </c>
      <c r="I4" s="1" t="n">
        <v>0.9151513</v>
      </c>
      <c r="J4" s="1" t="n">
        <v>1.69E-005</v>
      </c>
      <c r="K4" s="1" t="n">
        <v>-1.827751</v>
      </c>
      <c r="L4" s="1" t="n">
        <v>0.00304</v>
      </c>
      <c r="M4" s="1" t="n">
        <v>7.576133</v>
      </c>
      <c r="N4" s="1" t="n">
        <v>0.0682</v>
      </c>
      <c r="O4" s="1" t="n">
        <v>2.389095</v>
      </c>
      <c r="P4" s="1" t="n">
        <v>5.18E-005</v>
      </c>
      <c r="Q4" s="0" t="s">
        <v>12</v>
      </c>
      <c r="R4" s="0" t="s">
        <v>13</v>
      </c>
      <c r="S4" s="0" t="s">
        <v>14</v>
      </c>
      <c r="T4" s="0" t="s">
        <v>18</v>
      </c>
      <c r="U4" s="0" t="n">
        <v>28232</v>
      </c>
    </row>
    <row r="5" customFormat="false" ht="16" hidden="false" customHeight="false" outlineLevel="0" collapsed="false">
      <c r="A5" s="1" t="n">
        <v>1.46794</v>
      </c>
      <c r="B5" s="1" t="n">
        <v>0.0165</v>
      </c>
      <c r="C5" s="1" t="n">
        <v>2.071469</v>
      </c>
      <c r="D5" s="1" t="n">
        <v>0.0233</v>
      </c>
      <c r="E5" s="1" t="n">
        <v>2.432264</v>
      </c>
      <c r="F5" s="1" t="n">
        <v>8.45E-005</v>
      </c>
      <c r="G5" s="1" t="n">
        <v>2.206798</v>
      </c>
      <c r="H5" s="1" t="n">
        <v>6.15E-005</v>
      </c>
      <c r="I5" s="1" t="n">
        <v>0.9151575</v>
      </c>
      <c r="J5" s="1" t="n">
        <v>1.43E-005</v>
      </c>
      <c r="K5" s="1" t="n">
        <v>-1.82891</v>
      </c>
      <c r="L5" s="1" t="n">
        <v>0.00288</v>
      </c>
      <c r="M5" s="1" t="n">
        <v>7.785695</v>
      </c>
      <c r="N5" s="1" t="n">
        <v>0.0879</v>
      </c>
      <c r="O5" s="1" t="n">
        <v>2.388954</v>
      </c>
      <c r="P5" s="1" t="n">
        <v>5.43E-005</v>
      </c>
      <c r="Q5" s="0" t="s">
        <v>19</v>
      </c>
      <c r="R5" s="0" t="s">
        <v>13</v>
      </c>
      <c r="S5" s="0" t="s">
        <v>14</v>
      </c>
      <c r="T5" s="0" t="s">
        <v>20</v>
      </c>
      <c r="U5" s="0" t="n">
        <v>28233</v>
      </c>
    </row>
    <row r="6" customFormat="false" ht="16" hidden="false" customHeight="false" outlineLevel="0" collapsed="false">
      <c r="A6" s="1" t="n">
        <v>1.366617</v>
      </c>
      <c r="B6" s="1" t="n">
        <v>0.0223</v>
      </c>
      <c r="C6" s="1" t="n">
        <v>1.928483</v>
      </c>
      <c r="D6" s="1" t="n">
        <v>0.0314</v>
      </c>
      <c r="E6" s="1" t="n">
        <v>2.432247</v>
      </c>
      <c r="F6" s="1" t="n">
        <v>0.00012</v>
      </c>
      <c r="G6" s="1" t="n">
        <v>2.206629</v>
      </c>
      <c r="H6" s="1" t="n">
        <v>8E-005</v>
      </c>
      <c r="I6" s="1" t="n">
        <v>0.9151982</v>
      </c>
      <c r="J6" s="1" t="n">
        <v>2.28E-005</v>
      </c>
      <c r="K6" s="1" t="n">
        <v>-1.821007</v>
      </c>
      <c r="L6" s="1" t="n">
        <v>0.00375</v>
      </c>
      <c r="M6" s="1" t="n">
        <v>7.677353</v>
      </c>
      <c r="N6" s="1" t="n">
        <v>0.125</v>
      </c>
      <c r="O6" s="1" t="n">
        <v>2.389038</v>
      </c>
      <c r="P6" s="1" t="n">
        <v>6.76E-005</v>
      </c>
      <c r="Q6" s="0" t="s">
        <v>12</v>
      </c>
      <c r="R6" s="0" t="s">
        <v>13</v>
      </c>
      <c r="S6" s="0" t="s">
        <v>14</v>
      </c>
      <c r="T6" s="0" t="s">
        <v>21</v>
      </c>
      <c r="U6" s="0" t="n">
        <v>28234</v>
      </c>
    </row>
    <row r="7" customFormat="false" ht="16" hidden="false" customHeight="false" outlineLevel="0" collapsed="false">
      <c r="A7" s="1" t="n">
        <v>1.479931</v>
      </c>
      <c r="B7" s="1" t="n">
        <v>0.0181</v>
      </c>
      <c r="C7" s="1" t="n">
        <v>2.088414</v>
      </c>
      <c r="D7" s="1" t="n">
        <v>0.0256</v>
      </c>
      <c r="E7" s="1" t="n">
        <v>2.432227</v>
      </c>
      <c r="F7" s="1" t="n">
        <v>8.01E-005</v>
      </c>
      <c r="G7" s="1" t="n">
        <v>2.206549</v>
      </c>
      <c r="H7" s="1" t="n">
        <v>6.98E-005</v>
      </c>
      <c r="I7" s="1" t="n">
        <v>0.9152008</v>
      </c>
      <c r="J7" s="1" t="n">
        <v>1.94E-005</v>
      </c>
      <c r="K7" s="1" t="n">
        <v>-1.817275</v>
      </c>
      <c r="L7" s="1" t="n">
        <v>0.00327</v>
      </c>
      <c r="M7" s="1" t="n">
        <v>7.840896</v>
      </c>
      <c r="N7" s="1" t="n">
        <v>0.096</v>
      </c>
      <c r="O7" s="1" t="n">
        <v>2.389119</v>
      </c>
      <c r="P7" s="1" t="n">
        <v>7.7E-005</v>
      </c>
      <c r="Q7" s="0" t="s">
        <v>22</v>
      </c>
      <c r="R7" s="0" t="s">
        <v>13</v>
      </c>
      <c r="S7" s="0" t="s">
        <v>14</v>
      </c>
      <c r="T7" s="0" t="s">
        <v>23</v>
      </c>
      <c r="U7" s="0" t="n">
        <v>28235</v>
      </c>
    </row>
    <row r="8" customFormat="false" ht="16" hidden="false" customHeight="false" outlineLevel="0" collapsed="false">
      <c r="A8" s="1" t="n">
        <v>1.366358</v>
      </c>
      <c r="B8" s="1" t="n">
        <v>0.0165</v>
      </c>
      <c r="C8" s="1" t="n">
        <v>1.928186</v>
      </c>
      <c r="D8" s="1" t="n">
        <v>0.0233</v>
      </c>
      <c r="E8" s="1" t="n">
        <v>2.431984</v>
      </c>
      <c r="F8" s="1" t="n">
        <v>0.000118</v>
      </c>
      <c r="G8" s="1" t="n">
        <v>2.206541</v>
      </c>
      <c r="H8" s="1" t="n">
        <v>8.33E-005</v>
      </c>
      <c r="I8" s="1" t="n">
        <v>0.9151187</v>
      </c>
      <c r="J8" s="1" t="n">
        <v>1.73E-005</v>
      </c>
      <c r="K8" s="1" t="n">
        <v>-1.816872</v>
      </c>
      <c r="L8" s="1" t="n">
        <v>0.0039</v>
      </c>
      <c r="M8" s="1" t="n">
        <v>7.669184</v>
      </c>
      <c r="N8" s="1" t="n">
        <v>0.0936</v>
      </c>
      <c r="O8" s="1" t="n">
        <v>2.389048</v>
      </c>
      <c r="P8" s="1" t="n">
        <v>5.39E-005</v>
      </c>
      <c r="Q8" s="0" t="s">
        <v>12</v>
      </c>
      <c r="R8" s="0" t="s">
        <v>13</v>
      </c>
      <c r="S8" s="0" t="s">
        <v>14</v>
      </c>
      <c r="T8" s="0" t="s">
        <v>24</v>
      </c>
      <c r="U8" s="0" t="n">
        <v>28236</v>
      </c>
    </row>
    <row r="9" customFormat="false" ht="16" hidden="false" customHeight="false" outlineLevel="0" collapsed="false">
      <c r="A9" s="1" t="n">
        <v>1.489664</v>
      </c>
      <c r="B9" s="1" t="n">
        <v>0.0201</v>
      </c>
      <c r="C9" s="1" t="n">
        <v>2.102204</v>
      </c>
      <c r="D9" s="1" t="n">
        <v>0.0283</v>
      </c>
      <c r="E9" s="1" t="n">
        <v>2.431936</v>
      </c>
      <c r="F9" s="1" t="n">
        <v>0.00011</v>
      </c>
      <c r="G9" s="1" t="n">
        <v>2.206358</v>
      </c>
      <c r="H9" s="1" t="n">
        <v>8.64E-005</v>
      </c>
      <c r="I9" s="1" t="n">
        <v>0.9151357</v>
      </c>
      <c r="J9" s="1" t="n">
        <v>2.14E-005</v>
      </c>
      <c r="K9" s="1" t="n">
        <v>-1.808303</v>
      </c>
      <c r="L9" s="1" t="n">
        <v>0.00405</v>
      </c>
      <c r="M9" s="1" t="n">
        <v>7.882171</v>
      </c>
      <c r="N9" s="1" t="n">
        <v>0.106</v>
      </c>
      <c r="O9" s="1" t="n">
        <v>2.389196</v>
      </c>
      <c r="P9" s="1" t="n">
        <v>6.97E-005</v>
      </c>
      <c r="Q9" s="0" t="s">
        <v>25</v>
      </c>
      <c r="R9" s="0" t="s">
        <v>13</v>
      </c>
      <c r="S9" s="0" t="s">
        <v>14</v>
      </c>
      <c r="T9" s="0" t="s">
        <v>26</v>
      </c>
      <c r="U9" s="0" t="n">
        <v>28237</v>
      </c>
    </row>
    <row r="10" customFormat="false" ht="16" hidden="false" customHeight="false" outlineLevel="0" collapsed="false">
      <c r="A10" s="1" t="n">
        <v>1.361435</v>
      </c>
      <c r="B10" s="1" t="n">
        <v>0.0236</v>
      </c>
      <c r="C10" s="1" t="n">
        <v>1.921313</v>
      </c>
      <c r="D10" s="1" t="n">
        <v>0.0332</v>
      </c>
      <c r="E10" s="1" t="n">
        <v>2.431732</v>
      </c>
      <c r="F10" s="1" t="n">
        <v>0.000136</v>
      </c>
      <c r="G10" s="1" t="n">
        <v>2.206336</v>
      </c>
      <c r="H10" s="1" t="n">
        <v>8.75E-005</v>
      </c>
      <c r="I10" s="1" t="n">
        <v>0.9151817</v>
      </c>
      <c r="J10" s="1" t="n">
        <v>2.72E-005</v>
      </c>
      <c r="K10" s="1" t="n">
        <v>-1.807293</v>
      </c>
      <c r="L10" s="1" t="n">
        <v>0.0041</v>
      </c>
      <c r="M10" s="1" t="n">
        <v>7.630178</v>
      </c>
      <c r="N10" s="1" t="n">
        <v>0.132</v>
      </c>
      <c r="O10" s="1" t="n">
        <v>2.388794</v>
      </c>
      <c r="P10" s="1" t="n">
        <v>0.000125</v>
      </c>
      <c r="Q10" s="0" t="s">
        <v>12</v>
      </c>
      <c r="R10" s="0" t="s">
        <v>13</v>
      </c>
      <c r="S10" s="0" t="s">
        <v>14</v>
      </c>
      <c r="T10" s="0" t="s">
        <v>27</v>
      </c>
      <c r="U10" s="0" t="n">
        <v>28238</v>
      </c>
    </row>
    <row r="11" customFormat="false" ht="16" hidden="false" customHeight="false" outlineLevel="0" collapsed="false">
      <c r="A11" s="1" t="n">
        <v>1.145851</v>
      </c>
      <c r="B11" s="1" t="n">
        <v>0.0357</v>
      </c>
      <c r="C11" s="1" t="n">
        <v>1.617245</v>
      </c>
      <c r="D11" s="1" t="n">
        <v>0.0504</v>
      </c>
      <c r="E11" s="1" t="n">
        <v>2.430826</v>
      </c>
      <c r="F11" s="1" t="n">
        <v>0.000135</v>
      </c>
      <c r="G11" s="1" t="n">
        <v>2.205981</v>
      </c>
      <c r="H11" s="1" t="n">
        <v>0.000118</v>
      </c>
      <c r="I11" s="1" t="n">
        <v>0.9151274</v>
      </c>
      <c r="J11" s="1" t="n">
        <v>4.1E-005</v>
      </c>
      <c r="K11" s="1" t="n">
        <v>-1.790663</v>
      </c>
      <c r="L11" s="1" t="n">
        <v>0.00553</v>
      </c>
      <c r="M11" s="1" t="n">
        <v>3.238005</v>
      </c>
      <c r="N11" s="1" t="n">
        <v>0.101</v>
      </c>
      <c r="O11" s="1" t="n">
        <v>2.388385</v>
      </c>
      <c r="P11" s="1" t="n">
        <v>0.000141</v>
      </c>
      <c r="Q11" s="0" t="s">
        <v>28</v>
      </c>
      <c r="R11" s="0" t="s">
        <v>13</v>
      </c>
      <c r="S11" s="0" t="s">
        <v>14</v>
      </c>
      <c r="T11" s="0" t="s">
        <v>29</v>
      </c>
      <c r="U11" s="0" t="n">
        <v>28239</v>
      </c>
    </row>
    <row r="12" customFormat="false" ht="16" hidden="false" customHeight="false" outlineLevel="0" collapsed="false">
      <c r="A12" s="1" t="n">
        <v>1.362303</v>
      </c>
      <c r="B12" s="1" t="n">
        <v>0.0243</v>
      </c>
      <c r="C12" s="1" t="n">
        <v>1.922413</v>
      </c>
      <c r="D12" s="1" t="n">
        <v>0.0343</v>
      </c>
      <c r="E12" s="1" t="n">
        <v>2.432285</v>
      </c>
      <c r="F12" s="1" t="n">
        <v>8.22E-005</v>
      </c>
      <c r="G12" s="1" t="n">
        <v>2.206305</v>
      </c>
      <c r="H12" s="1" t="n">
        <v>8.42E-005</v>
      </c>
      <c r="I12" s="1" t="n">
        <v>0.9151249</v>
      </c>
      <c r="J12" s="1" t="n">
        <v>3.09E-005</v>
      </c>
      <c r="K12" s="1" t="n">
        <v>-1.805822</v>
      </c>
      <c r="L12" s="1" t="n">
        <v>0.00395</v>
      </c>
      <c r="M12" s="1" t="n">
        <v>7.626907</v>
      </c>
      <c r="N12" s="1" t="n">
        <v>0.136</v>
      </c>
      <c r="O12" s="1" t="n">
        <v>2.389478</v>
      </c>
      <c r="P12" s="1" t="n">
        <v>0.000108</v>
      </c>
      <c r="Q12" s="0" t="s">
        <v>12</v>
      </c>
      <c r="R12" s="0" t="s">
        <v>13</v>
      </c>
      <c r="S12" s="0" t="s">
        <v>14</v>
      </c>
      <c r="T12" s="0" t="s">
        <v>30</v>
      </c>
      <c r="U12" s="0" t="n">
        <v>28240</v>
      </c>
    </row>
    <row r="13" customFormat="false" ht="16" hidden="false" customHeight="false" outlineLevel="0" collapsed="false">
      <c r="A13" s="1" t="n">
        <v>1.261078</v>
      </c>
      <c r="B13" s="1" t="n">
        <v>0.0211</v>
      </c>
      <c r="C13" s="1" t="n">
        <v>1.779868</v>
      </c>
      <c r="D13" s="1" t="n">
        <v>0.0298</v>
      </c>
      <c r="E13" s="1" t="n">
        <v>2.430807</v>
      </c>
      <c r="F13" s="1" t="n">
        <v>0.000123</v>
      </c>
      <c r="G13" s="1" t="n">
        <v>2.206229</v>
      </c>
      <c r="H13" s="1" t="n">
        <v>9.51E-005</v>
      </c>
      <c r="I13" s="1" t="n">
        <v>0.9151729</v>
      </c>
      <c r="J13" s="1" t="n">
        <v>3.75E-005</v>
      </c>
      <c r="K13" s="1" t="n">
        <v>-1.802244</v>
      </c>
      <c r="L13" s="1" t="n">
        <v>0.00446</v>
      </c>
      <c r="M13" s="1" t="n">
        <v>3.557929</v>
      </c>
      <c r="N13" s="1" t="n">
        <v>0.0595</v>
      </c>
      <c r="O13" s="1" t="n">
        <v>2.388145</v>
      </c>
      <c r="P13" s="1" t="n">
        <v>0.00012</v>
      </c>
      <c r="Q13" s="0" t="s">
        <v>28</v>
      </c>
      <c r="R13" s="0" t="s">
        <v>13</v>
      </c>
      <c r="S13" s="0" t="s">
        <v>14</v>
      </c>
      <c r="T13" s="0" t="s">
        <v>31</v>
      </c>
      <c r="U13" s="0" t="n">
        <v>28241</v>
      </c>
    </row>
    <row r="14" customFormat="false" ht="16" hidden="false" customHeight="false" outlineLevel="0" collapsed="false">
      <c r="A14" s="1" t="n">
        <v>1.380379</v>
      </c>
      <c r="B14" s="1" t="n">
        <v>0.02</v>
      </c>
      <c r="C14" s="1" t="n">
        <v>1.94804</v>
      </c>
      <c r="D14" s="1" t="n">
        <v>0.0282</v>
      </c>
      <c r="E14" s="1" t="n">
        <v>2.431706</v>
      </c>
      <c r="F14" s="1" t="n">
        <v>9.52E-005</v>
      </c>
      <c r="G14" s="1" t="n">
        <v>2.206118</v>
      </c>
      <c r="H14" s="1" t="n">
        <v>8.36E-005</v>
      </c>
      <c r="I14" s="1" t="n">
        <v>0.9151338</v>
      </c>
      <c r="J14" s="1" t="n">
        <v>1.9E-005</v>
      </c>
      <c r="K14" s="1" t="n">
        <v>-1.797068</v>
      </c>
      <c r="L14" s="1" t="n">
        <v>0.00392</v>
      </c>
      <c r="M14" s="1" t="n">
        <v>7.725139</v>
      </c>
      <c r="N14" s="1" t="n">
        <v>0.112</v>
      </c>
      <c r="O14" s="1" t="n">
        <v>2.389089</v>
      </c>
      <c r="P14" s="1" t="n">
        <v>9.69E-005</v>
      </c>
      <c r="Q14" s="0" t="s">
        <v>12</v>
      </c>
      <c r="R14" s="0" t="s">
        <v>13</v>
      </c>
      <c r="S14" s="0" t="s">
        <v>14</v>
      </c>
      <c r="T14" s="0" t="s">
        <v>32</v>
      </c>
      <c r="U14" s="0" t="n">
        <v>28242</v>
      </c>
    </row>
    <row r="15" customFormat="false" ht="16" hidden="false" customHeight="false" outlineLevel="0" collapsed="false">
      <c r="A15" s="1" t="n">
        <v>1.149492</v>
      </c>
      <c r="B15" s="1" t="n">
        <v>0.0515</v>
      </c>
      <c r="C15" s="1" t="n">
        <v>1.62243</v>
      </c>
      <c r="D15" s="1" t="n">
        <v>0.0727</v>
      </c>
      <c r="E15" s="1" t="n">
        <v>2.43058</v>
      </c>
      <c r="F15" s="1" t="n">
        <v>0.00021</v>
      </c>
      <c r="G15" s="1" t="n">
        <v>2.206049</v>
      </c>
      <c r="H15" s="1" t="n">
        <v>0.000152</v>
      </c>
      <c r="I15" s="1" t="n">
        <v>0.9152002</v>
      </c>
      <c r="J15" s="1" t="n">
        <v>5.17E-005</v>
      </c>
      <c r="K15" s="1" t="n">
        <v>-1.793834</v>
      </c>
      <c r="L15" s="1" t="n">
        <v>0.00712</v>
      </c>
      <c r="M15" s="1" t="n">
        <v>3.241382</v>
      </c>
      <c r="N15" s="1" t="n">
        <v>0.145</v>
      </c>
      <c r="O15" s="1" t="n">
        <v>2.388075</v>
      </c>
      <c r="P15" s="1" t="n">
        <v>0.000161</v>
      </c>
      <c r="Q15" s="0" t="s">
        <v>33</v>
      </c>
      <c r="R15" s="0" t="s">
        <v>13</v>
      </c>
      <c r="S15" s="0" t="s">
        <v>14</v>
      </c>
      <c r="T15" s="0" t="s">
        <v>34</v>
      </c>
      <c r="U15" s="0" t="n">
        <v>28243</v>
      </c>
    </row>
    <row r="16" customFormat="false" ht="16" hidden="false" customHeight="false" outlineLevel="0" collapsed="false">
      <c r="A16" s="1" t="n">
        <v>1.361149</v>
      </c>
      <c r="B16" s="1" t="n">
        <v>0.0231</v>
      </c>
      <c r="C16" s="1" t="n">
        <v>1.920956</v>
      </c>
      <c r="D16" s="1" t="n">
        <v>0.0327</v>
      </c>
      <c r="E16" s="1" t="n">
        <v>2.431452</v>
      </c>
      <c r="F16" s="1" t="n">
        <v>0.000165</v>
      </c>
      <c r="G16" s="1" t="n">
        <v>2.206187</v>
      </c>
      <c r="H16" s="1" t="n">
        <v>9.76E-005</v>
      </c>
      <c r="I16" s="1" t="n">
        <v>0.9152228</v>
      </c>
      <c r="J16" s="1" t="n">
        <v>2.7E-005</v>
      </c>
      <c r="K16" s="1" t="n">
        <v>-1.800286</v>
      </c>
      <c r="L16" s="1" t="n">
        <v>0.00457</v>
      </c>
      <c r="M16" s="1" t="n">
        <v>7.60731</v>
      </c>
      <c r="N16" s="1" t="n">
        <v>0.129</v>
      </c>
      <c r="O16" s="1" t="n">
        <v>2.388972</v>
      </c>
      <c r="P16" s="1" t="n">
        <v>6.49E-005</v>
      </c>
      <c r="Q16" s="0" t="s">
        <v>12</v>
      </c>
      <c r="R16" s="0" t="s">
        <v>13</v>
      </c>
      <c r="S16" s="0" t="s">
        <v>14</v>
      </c>
      <c r="T16" s="0" t="s">
        <v>35</v>
      </c>
      <c r="U16" s="0" t="n">
        <v>28244</v>
      </c>
    </row>
    <row r="17" customFormat="false" ht="16" hidden="false" customHeight="false" outlineLevel="0" collapsed="false">
      <c r="A17" s="1" t="n">
        <v>1.697466</v>
      </c>
      <c r="B17" s="1" t="n">
        <v>0.0215</v>
      </c>
      <c r="C17" s="1" t="n">
        <v>2.394775</v>
      </c>
      <c r="D17" s="1" t="n">
        <v>0.0303</v>
      </c>
      <c r="E17" s="1" t="n">
        <v>2.434261</v>
      </c>
      <c r="F17" s="1" t="n">
        <v>7.61E-005</v>
      </c>
      <c r="G17" s="1" t="n">
        <v>2.206227</v>
      </c>
      <c r="H17" s="1" t="n">
        <v>6.28E-005</v>
      </c>
      <c r="I17" s="1" t="n">
        <v>0.9151741</v>
      </c>
      <c r="J17" s="1" t="n">
        <v>1.55E-005</v>
      </c>
      <c r="K17" s="1" t="n">
        <v>-1.802171</v>
      </c>
      <c r="L17" s="1" t="n">
        <v>0.00294</v>
      </c>
      <c r="M17" s="1" t="n">
        <v>9.688167</v>
      </c>
      <c r="N17" s="1" t="n">
        <v>0.122</v>
      </c>
      <c r="O17" s="1" t="n">
        <v>2.391621</v>
      </c>
      <c r="P17" s="1" t="n">
        <v>5.06E-005</v>
      </c>
      <c r="Q17" s="0" t="s">
        <v>19</v>
      </c>
      <c r="R17" s="0" t="s">
        <v>13</v>
      </c>
      <c r="S17" s="0" t="s">
        <v>14</v>
      </c>
      <c r="T17" s="0" t="s">
        <v>36</v>
      </c>
      <c r="U17" s="0" t="n">
        <v>28245</v>
      </c>
    </row>
    <row r="18" customFormat="false" ht="16" hidden="false" customHeight="false" outlineLevel="0" collapsed="false">
      <c r="A18" s="1" t="n">
        <v>1.389159</v>
      </c>
      <c r="B18" s="1" t="n">
        <v>0.0202</v>
      </c>
      <c r="C18" s="1" t="n">
        <v>1.960469</v>
      </c>
      <c r="D18" s="1" t="n">
        <v>0.0285</v>
      </c>
      <c r="E18" s="1" t="n">
        <v>2.431483</v>
      </c>
      <c r="F18" s="1" t="n">
        <v>0.00013</v>
      </c>
      <c r="G18" s="1" t="n">
        <v>2.206019</v>
      </c>
      <c r="H18" s="1" t="n">
        <v>0.00011</v>
      </c>
      <c r="I18" s="1" t="n">
        <v>0.9151275</v>
      </c>
      <c r="J18" s="1" t="n">
        <v>2.08E-005</v>
      </c>
      <c r="K18" s="1" t="n">
        <v>-1.79241</v>
      </c>
      <c r="L18" s="1" t="n">
        <v>0.00515</v>
      </c>
      <c r="M18" s="1" t="n">
        <v>7.75928</v>
      </c>
      <c r="N18" s="1" t="n">
        <v>0.113</v>
      </c>
      <c r="O18" s="1" t="n">
        <v>2.389062</v>
      </c>
      <c r="P18" s="1" t="n">
        <v>6.33E-005</v>
      </c>
      <c r="Q18" s="0" t="s">
        <v>12</v>
      </c>
      <c r="R18" s="0" t="s">
        <v>13</v>
      </c>
      <c r="S18" s="0" t="s">
        <v>14</v>
      </c>
      <c r="T18" s="0" t="s">
        <v>37</v>
      </c>
      <c r="U18" s="0" t="n">
        <v>28246</v>
      </c>
    </row>
    <row r="19" customFormat="false" ht="16" hidden="false" customHeight="false" outlineLevel="0" collapsed="false">
      <c r="O19" s="0" t="n">
        <f aca="true">_xlfn.NORM.INV(RAND(), M21, M23)</f>
        <v>2.38803390542606</v>
      </c>
      <c r="P19" s="0" t="n">
        <f aca="true">_xlfn.NORM.INV(RAND(), M26, M28)</f>
        <v>0.000156541650348714</v>
      </c>
      <c r="Q19" s="0" t="s">
        <v>22</v>
      </c>
      <c r="S19" s="0" t="s">
        <v>38</v>
      </c>
    </row>
    <row r="20" customFormat="false" ht="51" hidden="false" customHeight="false" outlineLevel="0" collapsed="false">
      <c r="I20" s="2"/>
      <c r="M20" s="2" t="s">
        <v>39</v>
      </c>
      <c r="O20" s="0" t="n">
        <f aca="true">_xlfn.NORM.INV(RAND(), M21, M23)</f>
        <v>2.38926458425917</v>
      </c>
      <c r="P20" s="0" t="n">
        <f aca="true">_xlfn.NORM.INV(RAND(), M26, M28)</f>
        <v>6.89813362723538E-005</v>
      </c>
      <c r="Q20" s="0" t="s">
        <v>12</v>
      </c>
      <c r="S20" s="0" t="s">
        <v>38</v>
      </c>
    </row>
    <row r="21" customFormat="false" ht="16" hidden="false" customHeight="false" outlineLevel="0" collapsed="false">
      <c r="I21" s="1"/>
      <c r="M21" s="1" t="n">
        <f aca="false">AVERAGE(O2:O18)</f>
        <v>2.38904629411765</v>
      </c>
      <c r="O21" s="0" t="n">
        <f aca="true">_xlfn.NORM.INV(RAND(), M21, M23)</f>
        <v>2.3886655205103</v>
      </c>
      <c r="P21" s="0" t="n">
        <f aca="true">_xlfn.NORM.INV(RAND(), M26, M28)</f>
        <v>9.30051505641327E-005</v>
      </c>
      <c r="Q21" s="0" t="s">
        <v>33</v>
      </c>
      <c r="S21" s="0" t="s">
        <v>38</v>
      </c>
    </row>
    <row r="22" customFormat="false" ht="16" hidden="false" customHeight="false" outlineLevel="0" collapsed="false">
      <c r="M22" s="0" t="s">
        <v>40</v>
      </c>
      <c r="O22" s="0" t="n">
        <f aca="true">_xlfn.NORM.INV(RAND(), M21, M23)</f>
        <v>2.38986191030357</v>
      </c>
      <c r="P22" s="0" t="n">
        <f aca="true">_xlfn.NORM.INV(RAND(), M26, M28)</f>
        <v>6.69414041344404E-005</v>
      </c>
      <c r="Q22" s="0" t="s">
        <v>12</v>
      </c>
      <c r="S22" s="0" t="s">
        <v>38</v>
      </c>
    </row>
    <row r="23" customFormat="false" ht="16" hidden="false" customHeight="false" outlineLevel="0" collapsed="false">
      <c r="M23" s="0" t="n">
        <f aca="false">STDEV(O2:O18)</f>
        <v>0.000765936417457918</v>
      </c>
      <c r="O23" s="0" t="n">
        <f aca="true">_xlfn.NORM.INV(RAND(), M21, M23)</f>
        <v>2.38888982842482</v>
      </c>
      <c r="P23" s="0" t="n">
        <f aca="true">_xlfn.NORM.INV(RAND(), M26, M28)</f>
        <v>6.60297649869599E-005</v>
      </c>
      <c r="Q23" s="0" t="s">
        <v>28</v>
      </c>
      <c r="S23" s="0" t="s">
        <v>38</v>
      </c>
    </row>
    <row r="24" customFormat="false" ht="16" hidden="false" customHeight="false" outlineLevel="0" collapsed="false">
      <c r="O24" s="0" t="n">
        <f aca="true">_xlfn.NORM.INV(RAND(), M21, M23)</f>
        <v>2.38900561204645</v>
      </c>
      <c r="P24" s="0" t="n">
        <f aca="true">_xlfn.NORM.INV(RAND(), M26, M28)</f>
        <v>8.8055823662813E-005</v>
      </c>
      <c r="Q24" s="0" t="s">
        <v>12</v>
      </c>
      <c r="S24" s="0" t="s">
        <v>38</v>
      </c>
    </row>
    <row r="25" customFormat="false" ht="34" hidden="false" customHeight="false" outlineLevel="0" collapsed="false">
      <c r="I25" s="2"/>
      <c r="M25" s="2" t="s">
        <v>41</v>
      </c>
      <c r="O25" s="0" t="n">
        <f aca="true">_xlfn.NORM.INV(RAND(), M21, M23)</f>
        <v>2.3903029933468</v>
      </c>
      <c r="P25" s="0" t="n">
        <f aca="true">_xlfn.NORM.INV(RAND(), M26, M28)</f>
        <v>3.4343905330803E-005</v>
      </c>
      <c r="Q25" s="0" t="s">
        <v>19</v>
      </c>
      <c r="S25" s="0" t="s">
        <v>38</v>
      </c>
    </row>
    <row r="26" customFormat="false" ht="16" hidden="false" customHeight="false" outlineLevel="0" collapsed="false">
      <c r="I26" s="1"/>
      <c r="M26" s="1" t="n">
        <f aca="false">AVERAGE(P2:P18)</f>
        <v>9.03470588235294E-005</v>
      </c>
      <c r="O26" s="0" t="n">
        <f aca="true">_xlfn.NORM.INV(RAND(), M21, M23)</f>
        <v>2.38863455572431</v>
      </c>
      <c r="P26" s="0" t="n">
        <f aca="true">_xlfn.NORM.INV(RAND(), M26, M28)</f>
        <v>0.00012303076395577</v>
      </c>
      <c r="Q26" s="0" t="s">
        <v>12</v>
      </c>
      <c r="S26" s="0" t="s">
        <v>38</v>
      </c>
    </row>
    <row r="27" customFormat="false" ht="16" hidden="false" customHeight="false" outlineLevel="0" collapsed="false">
      <c r="M27" s="0" t="s">
        <v>40</v>
      </c>
      <c r="O27" s="0" t="n">
        <f aca="true">_xlfn.NORM.INV(RAND(), M21, M23)</f>
        <v>2.38910995161645</v>
      </c>
      <c r="P27" s="0" t="n">
        <f aca="true">_xlfn.NORM.INV(RAND(), M26, M28)</f>
        <v>0.000105108352057218</v>
      </c>
      <c r="Q27" s="0" t="s">
        <v>16</v>
      </c>
      <c r="S27" s="0" t="s">
        <v>38</v>
      </c>
    </row>
    <row r="28" customFormat="false" ht="16" hidden="false" customHeight="false" outlineLevel="0" collapsed="false">
      <c r="M28" s="0" t="n">
        <f aca="false">STDEV(P2:P18)</f>
        <v>3.59273767071689E-005</v>
      </c>
      <c r="O28" s="0" t="n">
        <f aca="true">_xlfn.NORM.INV(RAND(), M21, M23)</f>
        <v>2.38952072068374</v>
      </c>
      <c r="P28" s="0" t="n">
        <f aca="true">_xlfn.NORM.INV(RAND(), M26, M28)</f>
        <v>0.000175583087246745</v>
      </c>
      <c r="Q28" s="0" t="s">
        <v>12</v>
      </c>
      <c r="S28" s="0" t="s">
        <v>38</v>
      </c>
    </row>
    <row r="29" customFormat="false" ht="16" hidden="false" customHeight="false" outlineLevel="0" collapsed="false">
      <c r="O29" s="0" t="n">
        <f aca="true">_xlfn.NORM.INV(RAND(), M21, M23)</f>
        <v>2.38842099355866</v>
      </c>
      <c r="P29" s="0" t="n">
        <f aca="true">_xlfn.NORM.INV(RAND(), M26, M28)</f>
        <v>0.00011585309197407</v>
      </c>
      <c r="Q29" s="0" t="s">
        <v>33</v>
      </c>
      <c r="S29" s="0" t="s">
        <v>38</v>
      </c>
    </row>
    <row r="30" customFormat="false" ht="16" hidden="false" customHeight="false" outlineLevel="0" collapsed="false">
      <c r="O30" s="0" t="n">
        <f aca="true">_xlfn.NORM.INV(RAND(), M21, M23)</f>
        <v>2.38960507650781</v>
      </c>
      <c r="P30" s="0" t="n">
        <f aca="true">_xlfn.NORM.INV(RAND(), M26, M28)</f>
        <v>5.37243161841134E-005</v>
      </c>
      <c r="Q30" s="0" t="s">
        <v>12</v>
      </c>
      <c r="S30" s="0" t="s">
        <v>38</v>
      </c>
    </row>
    <row r="31" customFormat="false" ht="16" hidden="false" customHeight="false" outlineLevel="0" collapsed="false">
      <c r="O31" s="0" t="n">
        <f aca="true">_xlfn.NORM.INV(RAND(), M21, M23)</f>
        <v>2.38870307477637</v>
      </c>
      <c r="P31" s="0" t="n">
        <f aca="true">_xlfn.NORM.INV(RAND(), M26, M28)</f>
        <v>-1.75217708239569E-005</v>
      </c>
      <c r="Q31" s="0" t="s">
        <v>25</v>
      </c>
      <c r="S31" s="0" t="s">
        <v>38</v>
      </c>
    </row>
    <row r="32" customFormat="false" ht="16" hidden="false" customHeight="false" outlineLevel="0" collapsed="false">
      <c r="O32" s="0" t="n">
        <f aca="true">_xlfn.NORM.INV(RAND(), M21, M23)</f>
        <v>2.39003963861304</v>
      </c>
      <c r="P32" s="0" t="n">
        <f aca="true">_xlfn.NORM.INV(RAND(), M26, M28)</f>
        <v>9.63429393718863E-005</v>
      </c>
      <c r="Q32" s="0" t="s">
        <v>12</v>
      </c>
      <c r="S32" s="0" t="s">
        <v>38</v>
      </c>
    </row>
    <row r="33" customFormat="false" ht="16" hidden="false" customHeight="false" outlineLevel="0" collapsed="false">
      <c r="O33" s="0" t="n">
        <f aca="true">_xlfn.NORM.INV(RAND(), M21, M23)</f>
        <v>2.39015394837264</v>
      </c>
      <c r="P33" s="0" t="n">
        <f aca="true">_xlfn.NORM.INV(RAND(), M26, M28)</f>
        <v>5.98190962300695E-005</v>
      </c>
      <c r="Q33" s="0" t="s">
        <v>28</v>
      </c>
      <c r="S33" s="0" t="s">
        <v>38</v>
      </c>
    </row>
    <row r="34" customFormat="false" ht="16" hidden="false" customHeight="false" outlineLevel="0" collapsed="false">
      <c r="O34" s="0" t="n">
        <f aca="true">_xlfn.NORM.INV(RAND(), M21, M23)</f>
        <v>2.38859918164252</v>
      </c>
      <c r="P34" s="0" t="n">
        <f aca="true">_xlfn.NORM.INV(RAND(), M26, M28)</f>
        <v>8.55110449357333E-005</v>
      </c>
      <c r="Q34" s="0" t="s">
        <v>12</v>
      </c>
      <c r="S34" s="0" t="s">
        <v>42</v>
      </c>
    </row>
    <row r="35" customFormat="false" ht="16" hidden="false" customHeight="false" outlineLevel="0" collapsed="false">
      <c r="O35" s="0" t="n">
        <f aca="true">_xlfn.NORM.INV(RAND(), M21, M23)</f>
        <v>2.38921960057353</v>
      </c>
      <c r="P35" s="0" t="n">
        <f aca="true">_xlfn.NORM.INV(RAND(), M26, M28)</f>
        <v>8.56779084711647E-005</v>
      </c>
      <c r="Q35" s="0" t="s">
        <v>19</v>
      </c>
      <c r="S35" s="0" t="s">
        <v>42</v>
      </c>
    </row>
    <row r="36" customFormat="false" ht="16" hidden="false" customHeight="false" outlineLevel="0" collapsed="false">
      <c r="O36" s="0" t="n">
        <f aca="true">_xlfn.NORM.INV(RAND(), M21, M23)</f>
        <v>2.38890524345703</v>
      </c>
      <c r="P36" s="0" t="n">
        <f aca="true">_xlfn.NORM.INV(RAND(), M26, M28)</f>
        <v>0.000144660235972255</v>
      </c>
      <c r="Q36" s="0" t="s">
        <v>12</v>
      </c>
      <c r="S36" s="0" t="s">
        <v>42</v>
      </c>
    </row>
    <row r="37" customFormat="false" ht="16" hidden="false" customHeight="false" outlineLevel="0" collapsed="false">
      <c r="O37" s="0" t="n">
        <f aca="true">_xlfn.NORM.INV(RAND(), M21, M23)</f>
        <v>2.38925428081249</v>
      </c>
      <c r="P37" s="0" t="n">
        <f aca="true">_xlfn.NORM.INV(RAND(), M26, M28)</f>
        <v>5.16407729409429E-005</v>
      </c>
      <c r="Q37" s="0" t="s">
        <v>19</v>
      </c>
      <c r="S37" s="0" t="s">
        <v>42</v>
      </c>
    </row>
    <row r="38" customFormat="false" ht="16" hidden="false" customHeight="false" outlineLevel="0" collapsed="false">
      <c r="O38" s="0" t="n">
        <f aca="true">_xlfn.NORM.INV(RAND(), M21, M23)</f>
        <v>2.38907508013109</v>
      </c>
      <c r="P38" s="0" t="n">
        <f aca="true">_xlfn.NORM.INV(RAND(), M26, M28)</f>
        <v>0.000113191947306691</v>
      </c>
      <c r="Q38" s="0" t="s">
        <v>12</v>
      </c>
      <c r="S38" s="0" t="s">
        <v>42</v>
      </c>
    </row>
    <row r="39" customFormat="false" ht="16" hidden="false" customHeight="false" outlineLevel="0" collapsed="false">
      <c r="O39" s="0" t="n">
        <f aca="true">_xlfn.NORM.INV(RAND(), M21, M23)</f>
        <v>2.38834231281117</v>
      </c>
      <c r="P39" s="0" t="n">
        <f aca="true">_xlfn.NORM.INV(RAND(), M26, M28)</f>
        <v>5.68776027132506E-005</v>
      </c>
      <c r="Q39" s="0" t="s">
        <v>25</v>
      </c>
      <c r="S39" s="0" t="s">
        <v>42</v>
      </c>
    </row>
    <row r="40" customFormat="false" ht="16" hidden="false" customHeight="false" outlineLevel="0" collapsed="false">
      <c r="O40" s="0" t="n">
        <f aca="true">_xlfn.NORM.INV(RAND(), M21, M23)</f>
        <v>2.38901789625489</v>
      </c>
      <c r="P40" s="0" t="n">
        <f aca="true">_xlfn.NORM.INV(RAND(), M26, M28)</f>
        <v>0.000133043611504911</v>
      </c>
      <c r="Q40" s="0" t="s">
        <v>12</v>
      </c>
      <c r="S40" s="0" t="s">
        <v>42</v>
      </c>
    </row>
    <row r="41" customFormat="false" ht="16" hidden="false" customHeight="false" outlineLevel="0" collapsed="false">
      <c r="O41" s="0" t="n">
        <f aca="true">_xlfn.NORM.INV(RAND(), M21, M23)</f>
        <v>2.38841502787307</v>
      </c>
      <c r="P41" s="0" t="n">
        <f aca="true">_xlfn.NORM.INV(RAND(), M26, M28)</f>
        <v>8.71155609438882E-005</v>
      </c>
      <c r="Q41" s="0" t="s">
        <v>19</v>
      </c>
      <c r="S41" s="0" t="s">
        <v>42</v>
      </c>
    </row>
    <row r="42" customFormat="false" ht="16" hidden="false" customHeight="false" outlineLevel="0" collapsed="false">
      <c r="O42" s="0" t="n">
        <f aca="true">_xlfn.NORM.INV(RAND(), M21, M23)</f>
        <v>2.38972090273839</v>
      </c>
      <c r="P42" s="0" t="n">
        <f aca="true">_xlfn.NORM.INV(RAND(), M26, M28)</f>
        <v>9.89572241859416E-005</v>
      </c>
      <c r="Q42" s="0" t="s">
        <v>12</v>
      </c>
      <c r="S42" s="0" t="s">
        <v>42</v>
      </c>
    </row>
    <row r="43" customFormat="false" ht="16" hidden="false" customHeight="false" outlineLevel="0" collapsed="false">
      <c r="O43" s="0" t="n">
        <f aca="true">_xlfn.NORM.INV(RAND(), M21, M23)</f>
        <v>2.38923394430462</v>
      </c>
      <c r="P43" s="0" t="n">
        <f aca="true">_xlfn.NORM.INV(RAND(), M26, M28)</f>
        <v>3.63452671963955E-005</v>
      </c>
      <c r="Q43" s="0" t="s">
        <v>25</v>
      </c>
      <c r="S43" s="0" t="s">
        <v>42</v>
      </c>
    </row>
    <row r="44" customFormat="false" ht="16" hidden="false" customHeight="false" outlineLevel="0" collapsed="false">
      <c r="O44" s="0" t="n">
        <f aca="true">_xlfn.NORM.INV(RAND(), M21, M23)</f>
        <v>2.38879418622059</v>
      </c>
      <c r="P44" s="0" t="n">
        <f aca="true">_xlfn.NORM.INV(RAND(), M26, M28)</f>
        <v>6.66464771983831E-005</v>
      </c>
      <c r="Q44" s="0" t="s">
        <v>12</v>
      </c>
      <c r="S44" s="0" t="s">
        <v>42</v>
      </c>
    </row>
    <row r="45" customFormat="false" ht="16" hidden="false" customHeight="false" outlineLevel="0" collapsed="false">
      <c r="O45" s="0" t="n">
        <f aca="true">_xlfn.NORM.INV(RAND(), M21, M23)</f>
        <v>2.3899912356116</v>
      </c>
      <c r="P45" s="0" t="n">
        <f aca="true">_xlfn.NORM.INV(RAND(), M26, M28)</f>
        <v>8.83489316584288E-005</v>
      </c>
      <c r="Q45" s="0" t="s">
        <v>19</v>
      </c>
      <c r="S45" s="0" t="s">
        <v>42</v>
      </c>
    </row>
    <row r="46" customFormat="false" ht="16" hidden="false" customHeight="false" outlineLevel="0" collapsed="false">
      <c r="O46" s="0" t="n">
        <f aca="true">_xlfn.NORM.INV(RAND(), M21, M23)</f>
        <v>2.38899679543217</v>
      </c>
      <c r="P46" s="0" t="n">
        <f aca="true">_xlfn.NORM.INV(RAND(), M26, M28)</f>
        <v>7.91715462345439E-005</v>
      </c>
      <c r="Q46" s="0" t="s">
        <v>12</v>
      </c>
      <c r="S46" s="0" t="s">
        <v>42</v>
      </c>
    </row>
    <row r="47" customFormat="false" ht="16" hidden="false" customHeight="false" outlineLevel="0" collapsed="false">
      <c r="O47" s="0" t="n">
        <f aca="true">_xlfn.NORM.INV(RAND(), M21, M23)</f>
        <v>2.3901445725232</v>
      </c>
      <c r="P47" s="0" t="n">
        <f aca="true">_xlfn.NORM.INV(RAND(), M26, M28)</f>
        <v>0.000100548595682424</v>
      </c>
      <c r="Q47" s="0" t="s">
        <v>22</v>
      </c>
      <c r="S47" s="0" t="s">
        <v>42</v>
      </c>
    </row>
    <row r="48" customFormat="false" ht="16" hidden="false" customHeight="false" outlineLevel="0" collapsed="false">
      <c r="O48" s="0" t="n">
        <f aca="true">_xlfn.NORM.INV(RAND(), M21, M23)</f>
        <v>2.38896983354775</v>
      </c>
      <c r="P48" s="0" t="n">
        <f aca="true">_xlfn.NORM.INV(RAND(), M26, M28)</f>
        <v>0.000108798711637702</v>
      </c>
      <c r="Q48" s="0" t="s">
        <v>12</v>
      </c>
      <c r="S48" s="0" t="s">
        <v>42</v>
      </c>
    </row>
    <row r="49" customFormat="false" ht="16" hidden="false" customHeight="false" outlineLevel="0" collapsed="false">
      <c r="O49" s="0" t="n">
        <f aca="true">_xlfn.NORM.INV(RAND(), M21, M23)</f>
        <v>2.38895707887823</v>
      </c>
      <c r="P49" s="0" t="n">
        <f aca="true">_xlfn.NORM.INV(RAND(), M26, M28)</f>
        <v>7.13159789562862E-005</v>
      </c>
      <c r="Q49" s="0" t="s">
        <v>25</v>
      </c>
      <c r="S49" s="0" t="s">
        <v>42</v>
      </c>
    </row>
    <row r="50" customFormat="false" ht="16" hidden="false" customHeight="false" outlineLevel="0" collapsed="false">
      <c r="O50" s="0" t="n">
        <f aca="true">_xlfn.NORM.INV(RAND(), M21, M23)</f>
        <v>2.38860753317871</v>
      </c>
      <c r="P50" s="0" t="n">
        <f aca="true">_xlfn.NORM.INV(RAND(), M26, M28)</f>
        <v>8.30560013680765E-005</v>
      </c>
      <c r="Q50" s="0" t="s">
        <v>12</v>
      </c>
      <c r="S50" s="0" t="s">
        <v>42</v>
      </c>
    </row>
    <row r="51" customFormat="false" ht="16" hidden="false" customHeight="false" outlineLevel="0" collapsed="false">
      <c r="O51" s="0" t="n">
        <f aca="true">_xlfn.NORM.INV(RAND(), M21, M23)</f>
        <v>2.38862960309188</v>
      </c>
      <c r="P51" s="0" t="n">
        <f aca="true">_xlfn.NORM.INV(RAND(), M26, M28)</f>
        <v>8.62110524104606E-005</v>
      </c>
      <c r="Q51" s="0" t="s">
        <v>33</v>
      </c>
      <c r="S51" s="0" t="s">
        <v>43</v>
      </c>
    </row>
    <row r="52" customFormat="false" ht="16" hidden="false" customHeight="false" outlineLevel="0" collapsed="false">
      <c r="O52" s="0" t="n">
        <f aca="true">_xlfn.NORM.INV(RAND(), M21, M23)</f>
        <v>2.38834910705009</v>
      </c>
      <c r="P52" s="0" t="n">
        <f aca="true">_xlfn.NORM.INV(RAND(), M26, M28)</f>
        <v>1.19960036204594E-005</v>
      </c>
      <c r="Q52" s="0" t="s">
        <v>12</v>
      </c>
      <c r="S52" s="0" t="s">
        <v>43</v>
      </c>
    </row>
    <row r="53" customFormat="false" ht="16" hidden="false" customHeight="false" outlineLevel="0" collapsed="false">
      <c r="O53" s="0" t="n">
        <f aca="true">_xlfn.NORM.INV(RAND(), M21, M23)</f>
        <v>2.38817623213702</v>
      </c>
      <c r="P53" s="0" t="n">
        <f aca="true">_xlfn.NORM.INV(RAND(), M26, M28)</f>
        <v>7.44654226131227E-005</v>
      </c>
      <c r="Q53" s="0" t="s">
        <v>19</v>
      </c>
      <c r="S53" s="0" t="s">
        <v>43</v>
      </c>
    </row>
    <row r="54" customFormat="false" ht="16" hidden="false" customHeight="false" outlineLevel="0" collapsed="false">
      <c r="O54" s="0" t="n">
        <f aca="true">_xlfn.NORM.INV(RAND(), M21, M23)</f>
        <v>2.38966887758352</v>
      </c>
      <c r="P54" s="0" t="n">
        <f aca="true">_xlfn.NORM.INV(RAND(), M26, M28)</f>
        <v>0.000115956968635072</v>
      </c>
      <c r="Q54" s="0" t="s">
        <v>12</v>
      </c>
      <c r="S54" s="0" t="s">
        <v>43</v>
      </c>
    </row>
    <row r="55" customFormat="false" ht="16" hidden="false" customHeight="false" outlineLevel="0" collapsed="false">
      <c r="O55" s="0" t="n">
        <f aca="true">_xlfn.NORM.INV(RAND(), M21, M23)</f>
        <v>2.38669906458266</v>
      </c>
      <c r="P55" s="0" t="n">
        <f aca="true">_xlfn.NORM.INV(RAND(), M26, M28)</f>
        <v>6.49636485617376E-005</v>
      </c>
      <c r="Q55" s="0" t="s">
        <v>16</v>
      </c>
      <c r="S55" s="0" t="s">
        <v>43</v>
      </c>
    </row>
    <row r="56" customFormat="false" ht="16" hidden="false" customHeight="false" outlineLevel="0" collapsed="false">
      <c r="O56" s="0" t="n">
        <f aca="true">_xlfn.NORM.INV(RAND(), M21, M23)</f>
        <v>2.38848369357069</v>
      </c>
      <c r="P56" s="0" t="n">
        <f aca="true">_xlfn.NORM.INV(RAND(), M26, M28)</f>
        <v>5.88910383975239E-005</v>
      </c>
      <c r="Q56" s="0" t="s">
        <v>12</v>
      </c>
      <c r="S56" s="0" t="s">
        <v>43</v>
      </c>
    </row>
    <row r="57" customFormat="false" ht="16" hidden="false" customHeight="false" outlineLevel="0" collapsed="false">
      <c r="O57" s="0" t="n">
        <f aca="true">_xlfn.NORM.INV(RAND(), M21, M23)</f>
        <v>2.38807115297293</v>
      </c>
      <c r="P57" s="0" t="n">
        <f aca="true">_xlfn.NORM.INV(RAND(), M26, M28)</f>
        <v>7.29340412187963E-005</v>
      </c>
      <c r="Q57" s="0" t="s">
        <v>28</v>
      </c>
      <c r="S57" s="0" t="s">
        <v>43</v>
      </c>
    </row>
    <row r="58" customFormat="false" ht="16" hidden="false" customHeight="false" outlineLevel="0" collapsed="false">
      <c r="O58" s="0" t="n">
        <f aca="true">_xlfn.NORM.INV(RAND(), M21, M23)</f>
        <v>2.3893289659434</v>
      </c>
      <c r="P58" s="0" t="n">
        <f aca="true">_xlfn.NORM.INV(RAND(), M26, M28)</f>
        <v>8.17247444603334E-005</v>
      </c>
      <c r="Q58" s="0" t="s">
        <v>12</v>
      </c>
      <c r="S58" s="0" t="s">
        <v>43</v>
      </c>
    </row>
    <row r="59" customFormat="false" ht="16" hidden="false" customHeight="false" outlineLevel="0" collapsed="false">
      <c r="O59" s="0" t="n">
        <f aca="true">_xlfn.NORM.INV(RAND(), M21, M23)</f>
        <v>2.38883400313705</v>
      </c>
      <c r="P59" s="0" t="n">
        <f aca="true">_xlfn.NORM.INV(RAND(), M26, M28)</f>
        <v>6.16355060324265E-005</v>
      </c>
      <c r="Q59" s="0" t="s">
        <v>33</v>
      </c>
      <c r="S59" s="0" t="s">
        <v>43</v>
      </c>
    </row>
    <row r="60" customFormat="false" ht="16" hidden="false" customHeight="false" outlineLevel="0" collapsed="false">
      <c r="O60" s="0" t="n">
        <f aca="true">_xlfn.NORM.INV(RAND(), M21, M23)</f>
        <v>2.38857765825076</v>
      </c>
      <c r="P60" s="0" t="n">
        <f aca="true">_xlfn.NORM.INV(RAND(), M26, M28)</f>
        <v>9.41431246336331E-005</v>
      </c>
      <c r="Q60" s="0" t="s">
        <v>12</v>
      </c>
      <c r="S60" s="0" t="s">
        <v>43</v>
      </c>
    </row>
    <row r="61" customFormat="false" ht="16" hidden="false" customHeight="false" outlineLevel="0" collapsed="false">
      <c r="O61" s="0" t="n">
        <f aca="true">_xlfn.NORM.INV(RAND(), M21, M23)</f>
        <v>2.38858599264553</v>
      </c>
      <c r="P61" s="0" t="n">
        <f aca="true">_xlfn.NORM.INV(RAND(), M26, M28)</f>
        <v>0.000136660653522553</v>
      </c>
      <c r="Q61" s="0" t="s">
        <v>22</v>
      </c>
      <c r="S61" s="0" t="s">
        <v>43</v>
      </c>
    </row>
    <row r="62" customFormat="false" ht="16" hidden="false" customHeight="false" outlineLevel="0" collapsed="false">
      <c r="O62" s="0" t="n">
        <f aca="true">_xlfn.NORM.INV(RAND(), M21, M23)</f>
        <v>2.38955018577126</v>
      </c>
      <c r="P62" s="0" t="n">
        <f aca="true">_xlfn.NORM.INV(RAND(), M26, M28)</f>
        <v>0.000105147195225404</v>
      </c>
      <c r="Q62" s="0" t="s">
        <v>12</v>
      </c>
      <c r="S62" s="0" t="s">
        <v>43</v>
      </c>
    </row>
    <row r="63" customFormat="false" ht="16" hidden="false" customHeight="false" outlineLevel="0" collapsed="false">
      <c r="O63" s="0" t="n">
        <f aca="true">_xlfn.NORM.INV(RAND(), M21, M23)</f>
        <v>2.38907346588887</v>
      </c>
      <c r="P63" s="0" t="n">
        <f aca="true">_xlfn.NORM.INV(RAND(), M26, M28)</f>
        <v>9.56594383566018E-005</v>
      </c>
      <c r="Q63" s="0" t="s">
        <v>28</v>
      </c>
      <c r="S63" s="0" t="s">
        <v>43</v>
      </c>
    </row>
    <row r="64" customFormat="false" ht="16" hidden="false" customHeight="false" outlineLevel="0" collapsed="false">
      <c r="O64" s="0" t="n">
        <f aca="true">_xlfn.NORM.INV(RAND(), M21, M23)</f>
        <v>2.38864408508671</v>
      </c>
      <c r="P64" s="0" t="n">
        <f aca="true">_xlfn.NORM.INV(RAND(), M26, M28)</f>
        <v>0.000132817351823672</v>
      </c>
      <c r="Q64" s="0" t="s">
        <v>12</v>
      </c>
      <c r="S64" s="0" t="s">
        <v>43</v>
      </c>
    </row>
    <row r="65" customFormat="false" ht="16" hidden="false" customHeight="false" outlineLevel="0" collapsed="false">
      <c r="O65" s="0" t="n">
        <f aca="true">_xlfn.NORM.INV(RAND(), M21, M23)</f>
        <v>2.38961011401146</v>
      </c>
      <c r="P65" s="0" t="n">
        <f aca="true">_xlfn.NORM.INV(RAND(), M26, M28)</f>
        <v>9.48765939428155E-005</v>
      </c>
      <c r="Q65" s="0" t="s">
        <v>16</v>
      </c>
      <c r="S65" s="0" t="s">
        <v>43</v>
      </c>
    </row>
    <row r="66" customFormat="false" ht="16" hidden="false" customHeight="false" outlineLevel="0" collapsed="false">
      <c r="O66" s="0" t="n">
        <f aca="true">_xlfn.NORM.INV(RAND(), M21, M23)</f>
        <v>2.38871626404587</v>
      </c>
      <c r="P66" s="0" t="n">
        <f aca="true">_xlfn.NORM.INV(RAND(), M26, M28)</f>
        <v>0.000157510429381064</v>
      </c>
      <c r="Q66" s="0" t="s">
        <v>12</v>
      </c>
      <c r="S66" s="0" t="s">
        <v>43</v>
      </c>
    </row>
    <row r="67" customFormat="false" ht="16" hidden="false" customHeight="false" outlineLevel="0" collapsed="false">
      <c r="O67" s="0" t="n">
        <f aca="true">_xlfn.NORM.INV(RAND(), M21, M23)</f>
        <v>2.38861966858326</v>
      </c>
      <c r="P67" s="0" t="n">
        <f aca="true">_xlfn.NORM.INV(RAND(), M26, M28)</f>
        <v>0.000108049149948231</v>
      </c>
      <c r="Q67" s="0" t="s">
        <v>19</v>
      </c>
      <c r="S67" s="0" t="s">
        <v>43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2025-12-12T22:47:12Z</dcterms:created>
  <dc:creator>Gibbs, Barrett Paul</dc:creator>
  <dc:description/>
  <dc:language>en-US</dc:language>
  <cp:lastModifiedBy/>
  <dcterms:modified xsi:type="dcterms:W3CDTF">2025-12-12T19:10:39Z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